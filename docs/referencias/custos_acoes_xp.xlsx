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AACA10EE-FFF7-44D8-8086-073B05DFD11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lculadora" sheetId="1" r:id="rId1"/>
    <sheet name="Parametro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" i="1" l="1"/>
  <c r="C41" i="1"/>
  <c r="D42" i="1" s="1"/>
  <c r="D25" i="1"/>
  <c r="C25" i="1"/>
  <c r="D24" i="1"/>
  <c r="D26" i="1" s="1"/>
  <c r="D30" i="1" s="1"/>
  <c r="C24" i="1"/>
  <c r="C20" i="1"/>
  <c r="C19" i="1"/>
  <c r="C18" i="1"/>
  <c r="D18" i="1" s="1"/>
  <c r="C17" i="1"/>
  <c r="C16" i="1"/>
  <c r="D16" i="1" s="1"/>
  <c r="C12" i="1"/>
  <c r="D45" i="1" s="1"/>
  <c r="D17" i="1" l="1"/>
  <c r="D19" i="1"/>
  <c r="D20" i="1" s="1"/>
  <c r="D21" i="1" l="1"/>
  <c r="D29" i="1" s="1"/>
  <c r="D31" i="1" s="1"/>
  <c r="D32" i="1" l="1"/>
  <c r="D44" i="1"/>
  <c r="D46" i="1" s="1"/>
  <c r="D33" i="1"/>
  <c r="D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0000000-0006-0000-0000-000001000000}">
      <text>
        <r>
          <rPr>
            <sz val="10"/>
            <rFont val="Arial"/>
            <family val="2"/>
          </rPr>
          <t>Exemplo preenchido: ITUB4 a R$ 37,52 e BBDC4 a R$ 15,73 (20/08/2026).
Troque pelos seus valores.</t>
        </r>
      </text>
    </comment>
  </commentList>
</comments>
</file>

<file path=xl/sharedStrings.xml><?xml version="1.0" encoding="utf-8"?>
<sst xmlns="http://schemas.openxmlformats.org/spreadsheetml/2006/main" count="94" uniqueCount="90">
  <si>
    <t>CUSTOS OPERACIONAIS — AÇÕES (XP Investimentos + B3)</t>
  </si>
  <si>
    <t>Preencha apenas as células AMARELAS. Todo o resto é calculado. As alíquotas ficam na aba 'Parâmetros'.</t>
  </si>
  <si>
    <t>1. OPERAÇÃO</t>
  </si>
  <si>
    <t>Preço da ação (R$)</t>
  </si>
  <si>
    <t>quanto custa 1 ação</t>
  </si>
  <si>
    <t>Quantidade (ações)</t>
  </si>
  <si>
    <t>lote da B3 = múltiplo de 100</t>
  </si>
  <si>
    <t>Tipo de operação</t>
  </si>
  <si>
    <t>Swing Trade  ou  Day Trade</t>
  </si>
  <si>
    <t>Operação vendida (aluguel BTC)?</t>
  </si>
  <si>
    <t>Não</t>
  </si>
  <si>
    <t>só 'Sim' se você VENDE ação que não tem</t>
  </si>
  <si>
    <t>Dias corridos carregados</t>
  </si>
  <si>
    <t>usado só no aluguel; Day Trade ignora</t>
  </si>
  <si>
    <t>Financeiro da operação (R$)</t>
  </si>
  <si>
    <t>preço × quantidade</t>
  </si>
  <si>
    <t>2. CUSTO POR ORDEM EXECUTADA</t>
  </si>
  <si>
    <t>Alíquota</t>
  </si>
  <si>
    <t>Valor (R$)</t>
  </si>
  <si>
    <t>Corretagem</t>
  </si>
  <si>
    <t>XP: R$ 4,90 swing | R$ 2,90 day (R$ 0 com RLP)</t>
  </si>
  <si>
    <t>Impostos sobre a corretagem</t>
  </si>
  <si>
    <t>ISS 5% + PIS 0,65% + COFINS 4%</t>
  </si>
  <si>
    <t>B3 — taxa de negociação</t>
  </si>
  <si>
    <t>emolumentos</t>
  </si>
  <si>
    <t>B3 — taxa de liquidação</t>
  </si>
  <si>
    <t>swing 0,0250% | day trade 0,0180%</t>
  </si>
  <si>
    <t>Taxa operacional XP</t>
  </si>
  <si>
    <t>5,9% sobre corretagem + emolumentos + liquidação</t>
  </si>
  <si>
    <t>CUSTO DE 1 ORDEM</t>
  </si>
  <si>
    <t>3. ALUGUEL DE AÇÕES (BTC) — só na ponta vendida em Swing Trade</t>
  </si>
  <si>
    <t>Taxa fixa XP ao tomador</t>
  </si>
  <si>
    <t>0,25% sobre o volume — NÃO depende do prazo</t>
  </si>
  <si>
    <t>Taxa do Papel (% ao ano)</t>
  </si>
  <si>
    <t>varia por papel e por dia — consulte no Home Broker</t>
  </si>
  <si>
    <t>CUSTO DE ALUGUEL</t>
  </si>
  <si>
    <t>4. CUSTO TOTAL DO GIRO (abrir + fechar)</t>
  </si>
  <si>
    <t>Custo das 2 ordens</t>
  </si>
  <si>
    <t>1 para abrir, 1 para fechar</t>
  </si>
  <si>
    <t>Aluguel</t>
  </si>
  <si>
    <t>CUSTO TOTAL</t>
  </si>
  <si>
    <t>Custo em % do financeiro</t>
  </si>
  <si>
    <t>quanto o giro consome do capital alocado</t>
  </si>
  <si>
    <t>Custo por ação (R$)</t>
  </si>
  <si>
    <t>quanto a ação precisa andar só para empatar</t>
  </si>
  <si>
    <t>Variação necessária para empatar</t>
  </si>
  <si>
    <t>em % do preço da ação</t>
  </si>
  <si>
    <t>5. OPERAÇÃO DE DUAS PERNAS (Long &amp; Short) — opcional</t>
  </si>
  <si>
    <t>Preencha a segunda perna abaixo. A perna 1 é a da seção 1. A perna vendida paga aluguel em Swing Trade.</t>
  </si>
  <si>
    <t>Perna 2 — preço da ação (R$)</t>
  </si>
  <si>
    <t>Perna 2 — quantidade (ações)</t>
  </si>
  <si>
    <t>Perna 2 é a vendida?</t>
  </si>
  <si>
    <t>Sim</t>
  </si>
  <si>
    <t>normalmente sim, se a perna 1 é comprada</t>
  </si>
  <si>
    <t>Financeiro da perna 2</t>
  </si>
  <si>
    <t>Custo das 2 ordens da perna 2</t>
  </si>
  <si>
    <t>mesma estrutura de taxas</t>
  </si>
  <si>
    <t>Aluguel da perna 2</t>
  </si>
  <si>
    <t>CUSTO TOTAL DAS DUAS PERNAS</t>
  </si>
  <si>
    <t>Financeiro total alocado</t>
  </si>
  <si>
    <t>soma das duas pernas</t>
  </si>
  <si>
    <t>Custo em % do financeiro total</t>
  </si>
  <si>
    <t>ATENÇÃO: se você usa robô/estratégia automatizada, confirme a corretagem com seu assessor. Para minicontratos a XP exclui explicitamente 'estratégias automatizadas' do benefício de corretagem zero; para ações o texto é ambíguo.</t>
  </si>
  <si>
    <t>PARÂMETROS — edite aqui quando as tabelas mudarem</t>
  </si>
  <si>
    <t>Todas as células amarelas são editáveis. A Calculadora referencia esta aba.</t>
  </si>
  <si>
    <t>CORRETAGEM E TAXAS DA CORRETORA (XP)</t>
  </si>
  <si>
    <t>Corretagem por ordem — Swing Trade</t>
  </si>
  <si>
    <t>XP, cliente assessorado pela XP / autoatendimento. Escritório credenciado: R$ 18,90</t>
  </si>
  <si>
    <t>Corretagem por ordem — Day Trade</t>
  </si>
  <si>
    <t>XP, não aderindo ao RLP. Aderindo ao RLP: R$ 0,00</t>
  </si>
  <si>
    <t>ISS 5% + PIS 0,65% + COFINS 4%. Confirmar se já vêm embutidos na nota</t>
  </si>
  <si>
    <t>5,9% sobre corretagem + emolumentos + taxa de liquidação</t>
  </si>
  <si>
    <t>TAXAS DA B3 (% sobre o financeiro, por ponta)</t>
  </si>
  <si>
    <t>Taxa de negociação (emolumentos)</t>
  </si>
  <si>
    <t>0,0050% — varia com o volume médio mensal do investidor</t>
  </si>
  <si>
    <t>Taxa de liquidação — Swing Trade</t>
  </si>
  <si>
    <t>0,0250%. Total swing = 0,0300%</t>
  </si>
  <si>
    <t>Taxa de liquidação — Day Trade</t>
  </si>
  <si>
    <t>0,0180% até R$ 1 milhão/dia. Total day trade = 0,0230%</t>
  </si>
  <si>
    <t>ALUGUEL DE AÇÕES (BTC)</t>
  </si>
  <si>
    <t>0,25% sobre o volume financeiro do aluguel. NÃO depende do prazo</t>
  </si>
  <si>
    <t>PLACEHOLDER — varia por papel e por dia. Consulte no Home Broker, menu BTC</t>
  </si>
  <si>
    <t>Dias úteis no ano</t>
  </si>
  <si>
    <t>base para converter a taxa anual em diária</t>
  </si>
  <si>
    <t>FONTES</t>
  </si>
  <si>
    <t>• Corretagem, impostos e taxa operacional: xpi.com.br/custos-operacionais (consultado em 20/08/2026)</t>
  </si>
  <si>
    <t>• Taxas B3 mercado à vista de ações, pessoa física: tabela pública B3</t>
  </si>
  <si>
    <t>• Taxa do Papel do BTC: informada pelo cliente / Home Broker XP — o valor aqui é placeholder</t>
  </si>
  <si>
    <t>LEGENDA: células AMARELAS com texto AZUL são entradas editáveis. Texto preto é fórmula — não edite.</t>
  </si>
  <si>
    <t>Day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</si>
</sst>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&quot;(R$ &quot;#,##0.00\);\-"/>
    <numFmt numFmtId="165" formatCode="0.0000%"/>
    <numFmt numFmtId="166" formatCode="&quot;R$ &quot;#,##0.0000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8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9"/>
      <color rgb="FFC00000"/>
      <name val="Arial"/>
      <charset val="1"/>
    </font>
    <font>
      <sz val="10"/>
      <name val="Arial"/>
      <family val="2"/>
    </font>
    <font>
      <i/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9" fillId="0" borderId="0" xfId="0" applyFont="1"/>
    <xf numFmtId="0" fontId="2" fillId="0" borderId="0" xfId="0" applyFont="1"/>
    <xf numFmtId="0" fontId="3" fillId="3" borderId="0" xfId="0" applyFont="1" applyFill="1"/>
    <xf numFmtId="0" fontId="1" fillId="2" borderId="0" xfId="0" applyFont="1" applyFill="1"/>
    <xf numFmtId="0" fontId="7" fillId="0" borderId="0" xfId="0" applyFont="1" applyAlignment="1">
      <alignment vertical="top" wrapText="1"/>
    </xf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/>
    <xf numFmtId="164" fontId="5" fillId="4" borderId="1" xfId="0" applyNumberFormat="1" applyFont="1" applyFill="1" applyBorder="1" applyAlignment="1">
      <alignment horizontal="right"/>
    </xf>
    <xf numFmtId="3" fontId="5" fillId="4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6" fillId="0" borderId="0" xfId="0" applyFont="1"/>
    <xf numFmtId="10" fontId="6" fillId="5" borderId="1" xfId="0" applyNumberFormat="1" applyFont="1" applyFill="1" applyBorder="1" applyAlignment="1">
      <alignment horizontal="right"/>
    </xf>
    <xf numFmtId="166" fontId="6" fillId="5" borderId="1" xfId="0" applyNumberFormat="1" applyFont="1" applyFill="1" applyBorder="1" applyAlignment="1">
      <alignment horizontal="right"/>
    </xf>
    <xf numFmtId="10" fontId="5" fillId="4" borderId="1" xfId="0" applyNumberFormat="1" applyFont="1" applyFill="1" applyBorder="1" applyAlignment="1">
      <alignment horizontal="right"/>
    </xf>
    <xf numFmtId="165" fontId="5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9"/>
  <sheetViews>
    <sheetView showGridLines="0" tabSelected="1" zoomScaleNormal="100" workbookViewId="0">
      <selection activeCell="C6" sqref="C6"/>
    </sheetView>
  </sheetViews>
  <sheetFormatPr defaultColWidth="8.6640625" defaultRowHeight="14.4" x14ac:dyDescent="0.3"/>
  <cols>
    <col min="1" max="1" width="3" customWidth="1"/>
    <col min="2" max="2" width="42" customWidth="1"/>
    <col min="3" max="5" width="16" customWidth="1"/>
    <col min="6" max="6" width="34" customWidth="1"/>
  </cols>
  <sheetData>
    <row r="2" spans="2:6" ht="24" customHeight="1" x14ac:dyDescent="0.3">
      <c r="B2" s="7" t="s">
        <v>0</v>
      </c>
      <c r="C2" s="7"/>
      <c r="D2" s="7"/>
      <c r="E2" s="7"/>
      <c r="F2" s="7"/>
    </row>
    <row r="3" spans="2:6" x14ac:dyDescent="0.3">
      <c r="B3" s="8" t="s">
        <v>1</v>
      </c>
    </row>
    <row r="5" spans="2:6" ht="18" customHeight="1" x14ac:dyDescent="0.3">
      <c r="B5" s="6" t="s">
        <v>2</v>
      </c>
      <c r="C5" s="6"/>
      <c r="D5" s="6"/>
      <c r="E5" s="6"/>
      <c r="F5" s="6"/>
    </row>
    <row r="6" spans="2:6" x14ac:dyDescent="0.3">
      <c r="B6" s="9" t="s">
        <v>3</v>
      </c>
      <c r="C6" s="10">
        <v>37.520000000000003</v>
      </c>
      <c r="F6" s="8" t="s">
        <v>4</v>
      </c>
    </row>
    <row r="7" spans="2:6" x14ac:dyDescent="0.3">
      <c r="B7" s="9" t="s">
        <v>5</v>
      </c>
      <c r="C7" s="11">
        <v>300</v>
      </c>
      <c r="F7" s="8" t="s">
        <v>6</v>
      </c>
    </row>
    <row r="8" spans="2:6" x14ac:dyDescent="0.3">
      <c r="B8" s="9" t="s">
        <v>7</v>
      </c>
      <c r="C8" s="12" t="s">
        <v>89</v>
      </c>
      <c r="F8" s="8" t="s">
        <v>8</v>
      </c>
    </row>
    <row r="9" spans="2:6" x14ac:dyDescent="0.3">
      <c r="B9" s="9" t="s">
        <v>9</v>
      </c>
      <c r="C9" s="12" t="s">
        <v>10</v>
      </c>
      <c r="F9" s="8" t="s">
        <v>11</v>
      </c>
    </row>
    <row r="10" spans="2:6" x14ac:dyDescent="0.3">
      <c r="B10" s="9" t="s">
        <v>12</v>
      </c>
      <c r="C10" s="11">
        <v>1</v>
      </c>
      <c r="F10" s="8" t="s">
        <v>13</v>
      </c>
    </row>
    <row r="12" spans="2:6" x14ac:dyDescent="0.3">
      <c r="B12" s="9" t="s">
        <v>14</v>
      </c>
      <c r="C12" s="13">
        <f>C6*C7</f>
        <v>11256.000000000002</v>
      </c>
      <c r="F12" s="8" t="s">
        <v>15</v>
      </c>
    </row>
    <row r="14" spans="2:6" ht="18" customHeight="1" x14ac:dyDescent="0.3">
      <c r="B14" s="6" t="s">
        <v>16</v>
      </c>
      <c r="C14" s="6"/>
      <c r="D14" s="6"/>
      <c r="E14" s="6"/>
      <c r="F14" s="6"/>
    </row>
    <row r="15" spans="2:6" x14ac:dyDescent="0.3">
      <c r="C15" s="14" t="s">
        <v>17</v>
      </c>
      <c r="D15" s="14" t="s">
        <v>18</v>
      </c>
    </row>
    <row r="16" spans="2:6" x14ac:dyDescent="0.3">
      <c r="B16" s="9" t="s">
        <v>19</v>
      </c>
      <c r="C16" s="15">
        <f>IF(C8="Day Trade",Parametros!C6,Parametros!C5)</f>
        <v>2.9</v>
      </c>
      <c r="D16" s="15">
        <f>C16</f>
        <v>2.9</v>
      </c>
      <c r="F16" s="8" t="s">
        <v>20</v>
      </c>
    </row>
    <row r="17" spans="2:6" x14ac:dyDescent="0.3">
      <c r="B17" s="9" t="s">
        <v>21</v>
      </c>
      <c r="C17" s="16">
        <f>Parametros!C7</f>
        <v>9.6500000000000002E-2</v>
      </c>
      <c r="D17" s="15">
        <f>D16*C17</f>
        <v>0.27984999999999999</v>
      </c>
      <c r="F17" s="8" t="s">
        <v>22</v>
      </c>
    </row>
    <row r="18" spans="2:6" x14ac:dyDescent="0.3">
      <c r="B18" s="9" t="s">
        <v>23</v>
      </c>
      <c r="C18" s="17">
        <f>Parametros!C10</f>
        <v>5.0000000000000002E-5</v>
      </c>
      <c r="D18" s="15">
        <f>$C$12*C18</f>
        <v>0.56280000000000008</v>
      </c>
      <c r="F18" s="8" t="s">
        <v>24</v>
      </c>
    </row>
    <row r="19" spans="2:6" x14ac:dyDescent="0.3">
      <c r="B19" s="9" t="s">
        <v>25</v>
      </c>
      <c r="C19" s="17">
        <f>IF(C8="Day Trade",Parametros!C12,Parametros!C11)</f>
        <v>1.8000000000000001E-4</v>
      </c>
      <c r="D19" s="15">
        <f>$C$12*C19</f>
        <v>2.0260800000000003</v>
      </c>
      <c r="F19" s="8" t="s">
        <v>26</v>
      </c>
    </row>
    <row r="20" spans="2:6" x14ac:dyDescent="0.3">
      <c r="B20" s="9" t="s">
        <v>27</v>
      </c>
      <c r="C20" s="16">
        <f>Parametros!C8</f>
        <v>5.8999999999999997E-2</v>
      </c>
      <c r="D20" s="15">
        <f>(D16+D18+D19)*C20</f>
        <v>0.32384392000000001</v>
      </c>
      <c r="F20" s="8" t="s">
        <v>28</v>
      </c>
    </row>
    <row r="21" spans="2:6" x14ac:dyDescent="0.3">
      <c r="B21" s="18" t="s">
        <v>29</v>
      </c>
      <c r="D21" s="13">
        <f>SUM(D16:D20)</f>
        <v>6.0925739200000004</v>
      </c>
    </row>
    <row r="23" spans="2:6" ht="18" customHeight="1" x14ac:dyDescent="0.3">
      <c r="B23" s="6" t="s">
        <v>30</v>
      </c>
      <c r="C23" s="6"/>
      <c r="D23" s="6"/>
      <c r="E23" s="6"/>
      <c r="F23" s="6"/>
    </row>
    <row r="24" spans="2:6" x14ac:dyDescent="0.3">
      <c r="B24" s="9" t="s">
        <v>31</v>
      </c>
      <c r="C24" s="16">
        <f>Parametros!C15</f>
        <v>2.5000000000000001E-3</v>
      </c>
      <c r="D24" s="15">
        <f>IF(AND(C9="Sim",C8="Swing Trade"),$C$12*C24,0)</f>
        <v>0</v>
      </c>
      <c r="F24" s="8" t="s">
        <v>32</v>
      </c>
    </row>
    <row r="25" spans="2:6" x14ac:dyDescent="0.3">
      <c r="B25" s="9" t="s">
        <v>33</v>
      </c>
      <c r="C25" s="16">
        <f>Parametros!C16</f>
        <v>0.02</v>
      </c>
      <c r="D25" s="15">
        <f>IF(AND(C9="Sim",C8="Swing Trade"),$C$12*C25*C10/Parametros!C17,0)</f>
        <v>0</v>
      </c>
      <c r="F25" s="8" t="s">
        <v>34</v>
      </c>
    </row>
    <row r="26" spans="2:6" x14ac:dyDescent="0.3">
      <c r="B26" s="18" t="s">
        <v>35</v>
      </c>
      <c r="D26" s="13">
        <f>D24+D25</f>
        <v>0</v>
      </c>
    </row>
    <row r="28" spans="2:6" ht="18" customHeight="1" x14ac:dyDescent="0.3">
      <c r="B28" s="6" t="s">
        <v>36</v>
      </c>
      <c r="C28" s="6"/>
      <c r="D28" s="6"/>
      <c r="E28" s="6"/>
      <c r="F28" s="6"/>
    </row>
    <row r="29" spans="2:6" x14ac:dyDescent="0.3">
      <c r="B29" s="9" t="s">
        <v>37</v>
      </c>
      <c r="D29" s="15">
        <f>D21*2</f>
        <v>12.185147840000001</v>
      </c>
      <c r="F29" s="8" t="s">
        <v>38</v>
      </c>
    </row>
    <row r="30" spans="2:6" x14ac:dyDescent="0.3">
      <c r="B30" s="9" t="s">
        <v>39</v>
      </c>
      <c r="D30" s="15">
        <f>D26</f>
        <v>0</v>
      </c>
    </row>
    <row r="31" spans="2:6" x14ac:dyDescent="0.3">
      <c r="B31" s="18" t="s">
        <v>40</v>
      </c>
      <c r="D31" s="13">
        <f>D29+D30</f>
        <v>12.185147840000001</v>
      </c>
    </row>
    <row r="32" spans="2:6" x14ac:dyDescent="0.3">
      <c r="B32" s="9" t="s">
        <v>41</v>
      </c>
      <c r="D32" s="19">
        <f>IF($C$12=0,0,D31/$C$12)</f>
        <v>1.0825468941009239E-3</v>
      </c>
      <c r="F32" s="8" t="s">
        <v>42</v>
      </c>
    </row>
    <row r="33" spans="2:6" x14ac:dyDescent="0.3">
      <c r="B33" s="9" t="s">
        <v>43</v>
      </c>
      <c r="D33" s="20">
        <f>IF(C7=0,0,D31/C7)</f>
        <v>4.061715946666667E-2</v>
      </c>
      <c r="F33" s="8" t="s">
        <v>44</v>
      </c>
    </row>
    <row r="34" spans="2:6" x14ac:dyDescent="0.3">
      <c r="B34" s="9" t="s">
        <v>45</v>
      </c>
      <c r="D34" s="19">
        <f>IF(C6=0,0,D33/C6)</f>
        <v>1.0825468941009239E-3</v>
      </c>
      <c r="F34" s="8" t="s">
        <v>46</v>
      </c>
    </row>
    <row r="36" spans="2:6" ht="18" customHeight="1" x14ac:dyDescent="0.3">
      <c r="B36" s="6" t="s">
        <v>47</v>
      </c>
      <c r="C36" s="6"/>
      <c r="D36" s="6"/>
      <c r="E36" s="6"/>
      <c r="F36" s="6"/>
    </row>
    <row r="37" spans="2:6" x14ac:dyDescent="0.3">
      <c r="B37" s="8" t="s">
        <v>48</v>
      </c>
    </row>
    <row r="38" spans="2:6" x14ac:dyDescent="0.3">
      <c r="B38" s="9" t="s">
        <v>49</v>
      </c>
      <c r="C38" s="10">
        <v>15.73</v>
      </c>
    </row>
    <row r="39" spans="2:6" x14ac:dyDescent="0.3">
      <c r="B39" s="9" t="s">
        <v>50</v>
      </c>
      <c r="C39" s="11">
        <v>200</v>
      </c>
    </row>
    <row r="40" spans="2:6" x14ac:dyDescent="0.3">
      <c r="B40" s="9" t="s">
        <v>51</v>
      </c>
      <c r="C40" s="12" t="s">
        <v>52</v>
      </c>
      <c r="F40" s="8" t="s">
        <v>53</v>
      </c>
    </row>
    <row r="41" spans="2:6" x14ac:dyDescent="0.3">
      <c r="B41" s="9" t="s">
        <v>54</v>
      </c>
      <c r="C41" s="15">
        <f>C38*C39</f>
        <v>3146</v>
      </c>
    </row>
    <row r="42" spans="2:6" x14ac:dyDescent="0.3">
      <c r="B42" s="9" t="s">
        <v>55</v>
      </c>
      <c r="D42" s="15">
        <f>2*((IF(C8="Day Trade",Parametros!C6,Parametros!C5))*(1+Parametros!C7)+$C$41*(Parametros!C10+IF(C8="Day Trade",Parametros!C12,Parametros!C11))+((IF(C8="Day Trade",Parametros!C6,Parametros!C5))+$C$41*(Parametros!C10+IF(C8="Day Trade",Parametros!C12,Parametros!C11)))*Parametros!C8)</f>
        <v>8.2344424400000005</v>
      </c>
      <c r="F42" s="8" t="s">
        <v>56</v>
      </c>
    </row>
    <row r="43" spans="2:6" x14ac:dyDescent="0.3">
      <c r="B43" s="9" t="s">
        <v>57</v>
      </c>
      <c r="D43" s="15">
        <f>IF(AND(C40="Sim",C8="Swing Trade"),$C$41*Parametros!C15+$C$41*Parametros!C16*C10/Parametros!C17,0)</f>
        <v>0</v>
      </c>
    </row>
    <row r="44" spans="2:6" x14ac:dyDescent="0.3">
      <c r="B44" s="18" t="s">
        <v>58</v>
      </c>
      <c r="D44" s="13">
        <f>D31+D42+D43</f>
        <v>20.419590280000001</v>
      </c>
    </row>
    <row r="45" spans="2:6" x14ac:dyDescent="0.3">
      <c r="B45" s="9" t="s">
        <v>59</v>
      </c>
      <c r="D45" s="15">
        <f>$C$12+$C$41</f>
        <v>14402.000000000002</v>
      </c>
      <c r="F45" s="8" t="s">
        <v>60</v>
      </c>
    </row>
    <row r="46" spans="2:6" x14ac:dyDescent="0.3">
      <c r="B46" s="9" t="s">
        <v>61</v>
      </c>
      <c r="D46" s="19">
        <f>IF(D45=0,0,D44/D45)</f>
        <v>1.4178301819191778E-3</v>
      </c>
    </row>
    <row r="48" spans="2:6" ht="15" customHeight="1" x14ac:dyDescent="0.3">
      <c r="B48" s="5" t="s">
        <v>62</v>
      </c>
      <c r="C48" s="5"/>
      <c r="D48" s="5"/>
      <c r="E48" s="5"/>
      <c r="F48" s="5"/>
    </row>
    <row r="49" spans="2:6" x14ac:dyDescent="0.3">
      <c r="B49" s="5"/>
      <c r="C49" s="5"/>
      <c r="D49" s="5"/>
      <c r="E49" s="5"/>
      <c r="F49" s="5"/>
    </row>
  </sheetData>
  <mergeCells count="7">
    <mergeCell ref="B36:F36"/>
    <mergeCell ref="B48:F49"/>
    <mergeCell ref="B2:F2"/>
    <mergeCell ref="B5:F5"/>
    <mergeCell ref="B14:F14"/>
    <mergeCell ref="B23:F23"/>
    <mergeCell ref="B28:F28"/>
  </mergeCells>
  <dataValidations count="2">
    <dataValidation type="list" sqref="C8" xr:uid="{00000000-0002-0000-0000-000000000000}">
      <formula1>"Swing Trade,Day Trade"</formula1>
      <formula2>0</formula2>
    </dataValidation>
    <dataValidation type="list" sqref="C9 C40" xr:uid="{00000000-0002-0000-00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44" customWidth="1"/>
    <col min="3" max="3" width="14" customWidth="1"/>
    <col min="4" max="4" width="62" customWidth="1"/>
  </cols>
  <sheetData>
    <row r="2" spans="2:4" ht="24" customHeight="1" x14ac:dyDescent="0.3">
      <c r="B2" s="4" t="s">
        <v>63</v>
      </c>
      <c r="C2" s="4"/>
      <c r="D2" s="4"/>
    </row>
    <row r="3" spans="2:4" x14ac:dyDescent="0.3">
      <c r="B3" s="8" t="s">
        <v>64</v>
      </c>
    </row>
    <row r="4" spans="2:4" x14ac:dyDescent="0.3">
      <c r="B4" s="3" t="s">
        <v>65</v>
      </c>
      <c r="C4" s="3"/>
      <c r="D4" s="3"/>
    </row>
    <row r="5" spans="2:4" x14ac:dyDescent="0.3">
      <c r="B5" s="9" t="s">
        <v>66</v>
      </c>
      <c r="C5" s="10">
        <v>4.9000000000000004</v>
      </c>
      <c r="D5" s="8" t="s">
        <v>67</v>
      </c>
    </row>
    <row r="6" spans="2:4" x14ac:dyDescent="0.3">
      <c r="B6" s="9" t="s">
        <v>68</v>
      </c>
      <c r="C6" s="10">
        <v>2.9</v>
      </c>
      <c r="D6" s="8" t="s">
        <v>69</v>
      </c>
    </row>
    <row r="7" spans="2:4" x14ac:dyDescent="0.3">
      <c r="B7" s="9" t="s">
        <v>21</v>
      </c>
      <c r="C7" s="21">
        <v>9.6500000000000002E-2</v>
      </c>
      <c r="D7" s="8" t="s">
        <v>70</v>
      </c>
    </row>
    <row r="8" spans="2:4" x14ac:dyDescent="0.3">
      <c r="B8" s="9" t="s">
        <v>27</v>
      </c>
      <c r="C8" s="21">
        <v>5.8999999999999997E-2</v>
      </c>
      <c r="D8" s="8" t="s">
        <v>71</v>
      </c>
    </row>
    <row r="9" spans="2:4" x14ac:dyDescent="0.3">
      <c r="B9" s="3" t="s">
        <v>72</v>
      </c>
      <c r="C9" s="3"/>
      <c r="D9" s="3"/>
    </row>
    <row r="10" spans="2:4" x14ac:dyDescent="0.3">
      <c r="B10" s="9" t="s">
        <v>73</v>
      </c>
      <c r="C10" s="22">
        <v>5.0000000000000002E-5</v>
      </c>
      <c r="D10" s="8" t="s">
        <v>74</v>
      </c>
    </row>
    <row r="11" spans="2:4" x14ac:dyDescent="0.3">
      <c r="B11" s="9" t="s">
        <v>75</v>
      </c>
      <c r="C11" s="22">
        <v>2.5000000000000001E-4</v>
      </c>
      <c r="D11" s="8" t="s">
        <v>76</v>
      </c>
    </row>
    <row r="12" spans="2:4" x14ac:dyDescent="0.3">
      <c r="B12" s="9" t="s">
        <v>77</v>
      </c>
      <c r="C12" s="22">
        <v>1.8000000000000001E-4</v>
      </c>
      <c r="D12" s="8" t="s">
        <v>78</v>
      </c>
    </row>
    <row r="14" spans="2:4" x14ac:dyDescent="0.3">
      <c r="B14" s="3" t="s">
        <v>79</v>
      </c>
      <c r="C14" s="3"/>
      <c r="D14" s="3"/>
    </row>
    <row r="15" spans="2:4" x14ac:dyDescent="0.3">
      <c r="B15" s="9" t="s">
        <v>31</v>
      </c>
      <c r="C15" s="21">
        <v>2.5000000000000001E-3</v>
      </c>
      <c r="D15" s="8" t="s">
        <v>80</v>
      </c>
    </row>
    <row r="16" spans="2:4" x14ac:dyDescent="0.3">
      <c r="B16" s="9" t="s">
        <v>33</v>
      </c>
      <c r="C16" s="21">
        <v>0.02</v>
      </c>
      <c r="D16" s="8" t="s">
        <v>81</v>
      </c>
    </row>
    <row r="17" spans="2:4" x14ac:dyDescent="0.3">
      <c r="B17" s="9" t="s">
        <v>82</v>
      </c>
      <c r="C17" s="11">
        <v>252</v>
      </c>
      <c r="D17" s="8" t="s">
        <v>83</v>
      </c>
    </row>
    <row r="19" spans="2:4" x14ac:dyDescent="0.3">
      <c r="B19" s="18" t="s">
        <v>84</v>
      </c>
    </row>
    <row r="20" spans="2:4" x14ac:dyDescent="0.3">
      <c r="B20" s="2" t="s">
        <v>85</v>
      </c>
      <c r="C20" s="2"/>
      <c r="D20" s="2"/>
    </row>
    <row r="21" spans="2:4" x14ac:dyDescent="0.3">
      <c r="B21" s="2" t="s">
        <v>86</v>
      </c>
      <c r="C21" s="2"/>
      <c r="D21" s="2"/>
    </row>
    <row r="22" spans="2:4" x14ac:dyDescent="0.3">
      <c r="B22" s="2" t="s">
        <v>87</v>
      </c>
      <c r="C22" s="2"/>
      <c r="D22" s="2"/>
    </row>
    <row r="24" spans="2:4" x14ac:dyDescent="0.3">
      <c r="B24" s="1" t="s">
        <v>88</v>
      </c>
      <c r="C24" s="1"/>
      <c r="D24" s="1"/>
    </row>
  </sheetData>
  <mergeCells count="8">
    <mergeCell ref="B21:D21"/>
    <mergeCell ref="B22:D22"/>
    <mergeCell ref="B24:D24"/>
    <mergeCell ref="B2:D2"/>
    <mergeCell ref="B4:D4"/>
    <mergeCell ref="B9:D9"/>
    <mergeCell ref="B14:D14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Calculadora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Augusto</cp:lastModifiedBy>
  <cp:revision>0</cp:revision>
  <dcterms:created xsi:type="dcterms:W3CDTF">2026-08-28T18:06:48Z</dcterms:created>
  <dcterms:modified xsi:type="dcterms:W3CDTF">2026-08-28T18:13:14Z</dcterms:modified>
  <dc:language>en-US</dc:language>
</cp:coreProperties>
</file>